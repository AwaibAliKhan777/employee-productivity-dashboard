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21E7E986-740B-40A7-8D87-416D7D51BC99}" xr6:coauthVersionLast="47" xr6:coauthVersionMax="47" xr10:uidLastSave="{00000000-0000-0000-0000-000000000000}"/>
  <bookViews>
    <workbookView xWindow="150" yWindow="135" windowWidth="10260" windowHeight="10335" activeTab="1" xr2:uid="{BEB3F3D4-FEE1-4E41-B073-6823F1635CE0}"/>
  </bookViews>
  <sheets>
    <sheet name="sheet2" sheetId="3" r:id="rId1"/>
    <sheet name="Sheet1" sheetId="1" r:id="rId2"/>
  </sheet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H4" i="1"/>
  <c r="H5" i="1"/>
  <c r="H6" i="1"/>
  <c r="H7" i="1"/>
  <c r="I3" i="1"/>
  <c r="H3" i="1"/>
</calcChain>
</file>

<file path=xl/sharedStrings.xml><?xml version="1.0" encoding="utf-8"?>
<sst xmlns="http://schemas.openxmlformats.org/spreadsheetml/2006/main" count="31" uniqueCount="23">
  <si>
    <t>Date</t>
  </si>
  <si>
    <t>Employee Name</t>
  </si>
  <si>
    <t>Department</t>
  </si>
  <si>
    <t>Check-In Time</t>
  </si>
  <si>
    <t>Check-Out Time</t>
  </si>
  <si>
    <t>Tasks Completed</t>
  </si>
  <si>
    <t>Status</t>
  </si>
  <si>
    <t>HR</t>
  </si>
  <si>
    <t>Present</t>
  </si>
  <si>
    <t>IT</t>
  </si>
  <si>
    <t>Late</t>
  </si>
  <si>
    <t>Finance</t>
  </si>
  <si>
    <t>Awaib</t>
  </si>
  <si>
    <t>Mark</t>
  </si>
  <si>
    <t xml:space="preserve">Sam </t>
  </si>
  <si>
    <t>Samar</t>
  </si>
  <si>
    <t>Nikita</t>
  </si>
  <si>
    <t>Work Hours</t>
  </si>
  <si>
    <t>Productivity %</t>
  </si>
  <si>
    <t>Row Labels</t>
  </si>
  <si>
    <t>Grand Total</t>
  </si>
  <si>
    <t>Count of Work Hours</t>
  </si>
  <si>
    <t>Employee Productivity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</si>
</sst>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15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8" fontId="0" fillId="0" borderId="0" xfId="0" applyNumberFormat="1"/>
    <xf numFmtId="18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64.214659259262" createdVersion="8" refreshedVersion="8" minRefreshableVersion="3" recordCount="5" xr:uid="{A6E3B830-87A3-4AE4-BFFF-D2C905FCC01A}">
  <cacheSource type="worksheet">
    <worksheetSource ref="A2:I7" sheet="Sheet1"/>
  </cacheSource>
  <cacheFields count="11">
    <cacheField name="Date" numFmtId="15">
      <sharedItems containsSemiMixedTypes="0" containsNonDate="0" containsDate="1" containsString="0" minDate="2024-10-01T00:00:00" maxDate="2024-10-02T00:00:00"/>
    </cacheField>
    <cacheField name="Employee Name" numFmtId="0">
      <sharedItems/>
    </cacheField>
    <cacheField name="Department" numFmtId="0">
      <sharedItems count="3">
        <s v="HR"/>
        <s v="IT"/>
        <s v="Finance"/>
      </sharedItems>
    </cacheField>
    <cacheField name="Check-In Time" numFmtId="18">
      <sharedItems containsSemiMixedTypes="0" containsNonDate="0" containsDate="1" containsString="0" minDate="1899-12-30T09:00:00" maxDate="1899-12-30T10:15:00"/>
    </cacheField>
    <cacheField name="Check-Out Time" numFmtId="18">
      <sharedItems containsSemiMixedTypes="0" containsNonDate="0" containsDate="1" containsString="0" minDate="1899-12-30T17:30:00" maxDate="1899-12-30T18:10:00"/>
    </cacheField>
    <cacheField name="Tasks Completed" numFmtId="0">
      <sharedItems containsSemiMixedTypes="0" containsString="0" containsNumber="1" containsInteger="1" minValue="6" maxValue="10"/>
    </cacheField>
    <cacheField name="Status" numFmtId="0">
      <sharedItems/>
    </cacheField>
    <cacheField name="Work Hours" numFmtId="18">
      <sharedItems containsSemiMixedTypes="0" containsNonDate="0" containsDate="1" containsString="0" minDate="1900-01-06T06:00:00" maxDate="1900-01-07T18:00:00" count="5">
        <d v="1900-01-07T16:00:00"/>
        <d v="1900-01-07T14:00:00"/>
        <d v="1900-01-06T06:00:00"/>
        <d v="1900-01-07T18:00:00"/>
        <d v="1900-01-07T04:00:00"/>
      </sharedItems>
      <fieldGroup par="10"/>
    </cacheField>
    <cacheField name="Productivity %" numFmtId="0">
      <sharedItems containsSemiMixedTypes="0" containsString="0" containsNumber="1" containsInteger="1" minValue="60" maxValue="100"/>
    </cacheField>
    <cacheField name="Hours (Work Hours)" numFmtId="0" databaseField="0">
      <fieldGroup base="7">
        <rangePr groupBy="hours" startDate="1900-01-06T06:00:00" endDate="1900-01-07T18:00:00"/>
        <groupItems count="26">
          <s v="&lt;1/7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8/1900"/>
        </groupItems>
      </fieldGroup>
    </cacheField>
    <cacheField name="Days (Work Hours)" numFmtId="0" databaseField="0">
      <fieldGroup base="7">
        <rangePr groupBy="days" startDate="1900-01-06T06:00:00" endDate="1900-01-07T18:00:00"/>
        <groupItems count="368">
          <s v="&lt;1/7/1900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8/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d v="2024-10-01T00:00:00"/>
    <s v="Awaib"/>
    <x v="0"/>
    <d v="1899-12-30T09:10:00"/>
    <d v="1899-12-30T17:50:00"/>
    <n v="8"/>
    <s v="Present"/>
    <x v="0"/>
    <n v="80"/>
  </r>
  <r>
    <d v="2024-10-01T00:00:00"/>
    <s v="Mark"/>
    <x v="1"/>
    <d v="1899-12-30T09:35:00"/>
    <d v="1899-12-30T18:10:00"/>
    <n v="10"/>
    <s v="Present"/>
    <x v="1"/>
    <n v="100"/>
  </r>
  <r>
    <d v="2024-10-01T00:00:00"/>
    <s v="Sam "/>
    <x v="1"/>
    <d v="1899-12-30T10:15:00"/>
    <d v="1899-12-30T17:30:00"/>
    <n v="6"/>
    <s v="Late"/>
    <x v="2"/>
    <n v="60"/>
  </r>
  <r>
    <d v="2024-10-01T00:00:00"/>
    <s v="Samar"/>
    <x v="2"/>
    <d v="1899-12-30T09:00:00"/>
    <d v="1899-12-30T17:45:00"/>
    <n v="9"/>
    <s v="Present"/>
    <x v="3"/>
    <n v="90"/>
  </r>
  <r>
    <d v="2024-10-01T00:00:00"/>
    <s v="Nikita"/>
    <x v="0"/>
    <d v="1899-12-30T09:50:00"/>
    <d v="1899-12-30T18:00:00"/>
    <n v="7"/>
    <s v="Late"/>
    <x v="4"/>
    <n v="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5A1299-D1A6-4C8D-901E-F2AA76F97F25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1">
    <pivotField numFmtId="15" showAll="0"/>
    <pivotField showAll="0"/>
    <pivotField axis="axisRow" showAll="0">
      <items count="4">
        <item x="2"/>
        <item x="0"/>
        <item x="1"/>
        <item t="default"/>
      </items>
    </pivotField>
    <pivotField numFmtId="18" showAll="0"/>
    <pivotField numFmtId="18" showAll="0"/>
    <pivotField showAll="0"/>
    <pivotField showAll="0"/>
    <pivotField dataField="1" numFmtId="18" showAll="0">
      <items count="6">
        <item x="2"/>
        <item x="4"/>
        <item x="1"/>
        <item x="0"/>
        <item x="3"/>
        <item t="default"/>
      </items>
    </pivotField>
    <pivotField showAll="0"/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Work Hours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8FF3A-6C48-4313-91D2-23397BEAAB0B}">
  <dimension ref="A3:B7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9.7109375" bestFit="1" customWidth="1"/>
  </cols>
  <sheetData>
    <row r="3" spans="1:2" x14ac:dyDescent="0.25">
      <c r="A3" s="6" t="s">
        <v>19</v>
      </c>
      <c r="B3" t="s">
        <v>21</v>
      </c>
    </row>
    <row r="4" spans="1:2" x14ac:dyDescent="0.25">
      <c r="A4" s="7" t="s">
        <v>11</v>
      </c>
      <c r="B4" s="8">
        <v>1</v>
      </c>
    </row>
    <row r="5" spans="1:2" x14ac:dyDescent="0.25">
      <c r="A5" s="7" t="s">
        <v>7</v>
      </c>
      <c r="B5" s="8">
        <v>2</v>
      </c>
    </row>
    <row r="6" spans="1:2" x14ac:dyDescent="0.25">
      <c r="A6" s="7" t="s">
        <v>9</v>
      </c>
      <c r="B6" s="8">
        <v>2</v>
      </c>
    </row>
    <row r="7" spans="1:2" x14ac:dyDescent="0.25">
      <c r="A7" s="7" t="s">
        <v>20</v>
      </c>
      <c r="B7" s="8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14B34-0322-4D4E-BB60-DA4193E69C3C}">
  <dimension ref="A1:I7"/>
  <sheetViews>
    <sheetView tabSelected="1" workbookViewId="0">
      <selection activeCell="I12" sqref="I12"/>
    </sheetView>
  </sheetViews>
  <sheetFormatPr defaultRowHeight="15" x14ac:dyDescent="0.25"/>
  <cols>
    <col min="1" max="1" width="8.42578125" bestFit="1" customWidth="1"/>
    <col min="2" max="3" width="8.7109375" bestFit="1" customWidth="1"/>
    <col min="4" max="4" width="9" bestFit="1" customWidth="1"/>
    <col min="6" max="6" width="8.5703125" bestFit="1" customWidth="1"/>
    <col min="7" max="7" width="7.85546875" bestFit="1" customWidth="1"/>
    <col min="8" max="8" width="11.7109375" customWidth="1"/>
    <col min="9" max="9" width="14.28515625" customWidth="1"/>
  </cols>
  <sheetData>
    <row r="1" spans="1:9" ht="33.75" x14ac:dyDescent="0.5">
      <c r="A1" s="9" t="s">
        <v>22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17</v>
      </c>
      <c r="I2" s="1" t="s">
        <v>18</v>
      </c>
    </row>
    <row r="3" spans="1:9" x14ac:dyDescent="0.25">
      <c r="A3" s="2">
        <v>45566</v>
      </c>
      <c r="B3" s="3" t="s">
        <v>12</v>
      </c>
      <c r="C3" s="3" t="s">
        <v>7</v>
      </c>
      <c r="D3" s="5">
        <v>0.38194444444444442</v>
      </c>
      <c r="E3" s="5">
        <v>0.74305555555555558</v>
      </c>
      <c r="F3" s="3">
        <v>8</v>
      </c>
      <c r="G3" s="3" t="s">
        <v>8</v>
      </c>
      <c r="H3" s="4">
        <f>(E3-D3)*24</f>
        <v>8.6666666666666679</v>
      </c>
      <c r="I3">
        <f>(F3/10)*100</f>
        <v>80</v>
      </c>
    </row>
    <row r="4" spans="1:9" x14ac:dyDescent="0.25">
      <c r="A4" s="2">
        <v>45566</v>
      </c>
      <c r="B4" s="3" t="s">
        <v>13</v>
      </c>
      <c r="C4" s="3" t="s">
        <v>9</v>
      </c>
      <c r="D4" s="5">
        <v>0.39930555555555558</v>
      </c>
      <c r="E4" s="5">
        <v>0.75694444444444442</v>
      </c>
      <c r="F4" s="3">
        <v>10</v>
      </c>
      <c r="G4" s="3" t="s">
        <v>8</v>
      </c>
      <c r="H4" s="4">
        <f t="shared" ref="H4:H7" si="0">(E4-D4)*24</f>
        <v>8.5833333333333321</v>
      </c>
      <c r="I4">
        <f t="shared" ref="I4:I7" si="1">(F4/10)*100</f>
        <v>100</v>
      </c>
    </row>
    <row r="5" spans="1:9" x14ac:dyDescent="0.25">
      <c r="A5" s="2">
        <v>45566</v>
      </c>
      <c r="B5" s="3" t="s">
        <v>14</v>
      </c>
      <c r="C5" s="3" t="s">
        <v>9</v>
      </c>
      <c r="D5" s="5">
        <v>0.42708333333333331</v>
      </c>
      <c r="E5" s="5">
        <v>0.72916666666666663</v>
      </c>
      <c r="F5" s="3">
        <v>6</v>
      </c>
      <c r="G5" s="3" t="s">
        <v>10</v>
      </c>
      <c r="H5" s="4">
        <f t="shared" si="0"/>
        <v>7.25</v>
      </c>
      <c r="I5">
        <f t="shared" si="1"/>
        <v>60</v>
      </c>
    </row>
    <row r="6" spans="1:9" x14ac:dyDescent="0.25">
      <c r="A6" s="2">
        <v>45566</v>
      </c>
      <c r="B6" s="3" t="s">
        <v>15</v>
      </c>
      <c r="C6" s="3" t="s">
        <v>11</v>
      </c>
      <c r="D6" s="5">
        <v>0.375</v>
      </c>
      <c r="E6" s="5">
        <v>0.73958333333333337</v>
      </c>
      <c r="F6" s="3">
        <v>9</v>
      </c>
      <c r="G6" s="3" t="s">
        <v>8</v>
      </c>
      <c r="H6" s="4">
        <f t="shared" si="0"/>
        <v>8.75</v>
      </c>
      <c r="I6">
        <f t="shared" si="1"/>
        <v>90</v>
      </c>
    </row>
    <row r="7" spans="1:9" x14ac:dyDescent="0.25">
      <c r="A7" s="2">
        <v>45566</v>
      </c>
      <c r="B7" s="3" t="s">
        <v>16</v>
      </c>
      <c r="C7" s="3" t="s">
        <v>7</v>
      </c>
      <c r="D7" s="5">
        <v>0.40972222222222221</v>
      </c>
      <c r="E7" s="5">
        <v>0.75</v>
      </c>
      <c r="F7" s="3">
        <v>7</v>
      </c>
      <c r="G7" s="3" t="s">
        <v>10</v>
      </c>
      <c r="H7" s="4">
        <f t="shared" si="0"/>
        <v>8.1666666666666679</v>
      </c>
      <c r="I7">
        <f t="shared" si="1"/>
        <v>70</v>
      </c>
    </row>
  </sheetData>
  <mergeCells count="1">
    <mergeCell ref="A1:I1"/>
  </mergeCells>
  <conditionalFormatting sqref="G2:G1048576">
    <cfRule type="containsText" dxfId="1" priority="3" operator="containsText" text="Late">
      <formula>NOT(ISERROR(SEARCH("Late",G2)))</formula>
    </cfRule>
  </conditionalFormatting>
  <conditionalFormatting sqref="I3:I7">
    <cfRule type="cellIs" dxfId="0" priority="2" operator="lessThan">
      <formula>80</formula>
    </cfRule>
  </conditionalFormatting>
  <conditionalFormatting sqref="H2:H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2025-11-02T23:13:49Z</dcterms:created>
  <dcterms:modified xsi:type="dcterms:W3CDTF">2025-11-02T23:58:32Z</dcterms:modified>
</cp:coreProperties>
</file>